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6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36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inlineStr">
        <is>
          <t>NÃO SE APLICA</t>
        </is>
      </c>
      <c r="S4" s="111" t="inlineStr">
        <is>
          <t>APROVADA</t>
        </is>
      </c>
      <c r="T4" s="111" t="inlineStr">
        <is>
          <t>JANAÍNA GOMES DA COSTA</t>
        </is>
      </c>
      <c r="U4" s="111" t="inlineStr">
        <is>
          <t>23/10/2026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inlineStr">
        <is>
          <t>NÃO SE APLICA</t>
        </is>
      </c>
      <c r="S5" s="111" t="inlineStr">
        <is>
          <t>APROVADA</t>
        </is>
      </c>
      <c r="T5" s="111" t="inlineStr">
        <is>
          <t>JANAÍNA GOMES DA COSTA</t>
        </is>
      </c>
      <c r="U5" s="111" t="inlineStr">
        <is>
          <t>23/10/2026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10" t="inlineStr">
        <is>
          <t>GRD_LT_ELE_1_VISION_4680008320_SE BRAÚNAS_231026</t>
        </is>
      </c>
      <c r="B9" s="110" t="inlineStr">
        <is>
          <t>SE BRAÚNAS</t>
        </is>
      </c>
      <c r="C9" s="110" t="inlineStr">
        <is>
          <t>VISION</t>
        </is>
      </c>
      <c r="D9" s="110" t="inlineStr">
        <is>
          <t>4680008320</t>
        </is>
      </c>
      <c r="E9" s="110" t="inlineStr">
        <is>
          <t>PACOTE - R&amp;M 01_2025</t>
        </is>
      </c>
      <c r="F9" s="110" t="inlineStr">
        <is>
          <t>PEDRO PEREIRA</t>
        </is>
      </c>
      <c r="G9" s="110" t="inlineStr">
        <is>
          <t>LINHAS DE TRANSMISSÃO - LT</t>
        </is>
      </c>
      <c r="H9" s="110" t="inlineStr">
        <is>
          <t>ELÉTRICA - ELE</t>
        </is>
      </c>
      <c r="I9" s="110" t="inlineStr">
        <is>
          <t>RODRIGO SERPA FERREIRA PASSOS</t>
        </is>
      </c>
      <c r="J9" s="111" t="inlineStr">
        <is>
          <t>1</t>
        </is>
      </c>
      <c r="K9" s="112" t="inlineStr">
        <is>
          <t>23/10/2026</t>
        </is>
      </c>
      <c r="L9" s="111" t="inlineStr">
        <is>
          <t>1</t>
        </is>
      </c>
      <c r="M9" s="111" t="inlineStr">
        <is>
          <t>1</t>
        </is>
      </c>
      <c r="N9" s="111" t="inlineStr">
        <is>
          <t>1</t>
        </is>
      </c>
      <c r="O9" s="111" t="inlineStr">
        <is>
          <t>1</t>
        </is>
      </c>
      <c r="P9" s="111" t="inlineStr">
        <is>
          <t>1</t>
        </is>
      </c>
      <c r="Q9" s="111" t="inlineStr">
        <is>
          <t>1</t>
        </is>
      </c>
      <c r="R9" s="111" t="inlineStr">
        <is>
          <t>NÃO SE APLICA</t>
        </is>
      </c>
      <c r="S9" s="111" t="inlineStr">
        <is>
          <t>REPROVADA</t>
        </is>
      </c>
      <c r="T9" s="111" t="inlineStr">
        <is>
          <t>FELIPE CARLOS FACCIN</t>
        </is>
      </c>
      <c r="U9" s="111" t="inlineStr">
        <is>
          <t>23/10/2026</t>
        </is>
      </c>
      <c r="V9" s="112">
        <f>IF(K9&lt;&gt;"",K9+30,"")</f>
        <v/>
      </c>
      <c r="W9" s="113">
        <f>IF(K9="","",IF(X9&lt;&gt;"","NO PRAZO",IF(Y9&lt;&gt;"","FORA DO PRAZO",IF(AND(U9&lt;&gt;"",U9-V9&gt;=0),"FORA DO PRAZO",IF(AND(U9&lt;&gt;"",U9-V9&lt;0),"NO PRAZO","")))))</f>
        <v/>
      </c>
      <c r="X9" s="113">
        <f>IF(K9="","",IF(U9&lt;&gt;"","",IF(TODAY()-V9&lt;=0,V9-TODAY(),"")))</f>
        <v/>
      </c>
      <c r="Y9" s="113">
        <f>IF(K9="","",IF(U9&lt;&gt;"","",IF(TODAY()-V9&gt;0,TODAY()-V9,"")))</f>
        <v/>
      </c>
    </row>
    <row r="10">
      <c r="A10" s="110" t="inlineStr">
        <is>
          <t>GRD_EQP_SC_1_WEG_4630003373_SE MASCARENHAS_231026</t>
        </is>
      </c>
      <c r="B10" s="110" t="inlineStr">
        <is>
          <t>SE MASCARENHAS</t>
        </is>
      </c>
      <c r="C10" s="110" t="inlineStr">
        <is>
          <t>WEG</t>
        </is>
      </c>
      <c r="D10" s="110" t="inlineStr">
        <is>
          <t>4630003373</t>
        </is>
      </c>
      <c r="E10" s="110" t="inlineStr">
        <is>
          <t>PACOTE - R&amp;M 01_2025</t>
        </is>
      </c>
      <c r="F10" s="110" t="inlineStr">
        <is>
          <t>NIKOLAS LEMOS BAHIA DE OLIVEIRA</t>
        </is>
      </c>
      <c r="G10" s="110" t="inlineStr">
        <is>
          <t>EQUIPAMENTOS - EQP</t>
        </is>
      </c>
      <c r="H10" s="110" t="inlineStr">
        <is>
          <t>EQUIPAMENTOS SECUNDÁRIOS - SC</t>
        </is>
      </c>
      <c r="I10" s="110" t="inlineStr">
        <is>
          <t>MARCOS LEANDRO DE OLIVEIRA SANTOS</t>
        </is>
      </c>
      <c r="J10" s="111" t="inlineStr">
        <is>
          <t>1</t>
        </is>
      </c>
      <c r="K10" s="112" t="inlineStr">
        <is>
          <t>23/10/2026</t>
        </is>
      </c>
      <c r="L10" s="111" t="inlineStr">
        <is>
          <t>1</t>
        </is>
      </c>
      <c r="M10" s="111" t="inlineStr">
        <is>
          <t>1</t>
        </is>
      </c>
      <c r="N10" s="111" t="inlineStr">
        <is>
          <t>1</t>
        </is>
      </c>
      <c r="O10" s="111" t="inlineStr">
        <is>
          <t>1</t>
        </is>
      </c>
      <c r="P10" s="111" t="inlineStr">
        <is>
          <t>1</t>
        </is>
      </c>
      <c r="Q10" s="111" t="inlineStr">
        <is>
          <t>1</t>
        </is>
      </c>
      <c r="R10" s="111" t="inlineStr">
        <is>
          <t>NÃO SE APLICA</t>
        </is>
      </c>
      <c r="S10" s="111" t="inlineStr">
        <is>
          <t>REPROVADA</t>
        </is>
      </c>
      <c r="T10" s="111" t="inlineStr">
        <is>
          <t>KÍLDARY DE MELO PAULA</t>
        </is>
      </c>
      <c r="U10" s="111" t="inlineStr">
        <is>
          <t>23/10/2026</t>
        </is>
      </c>
      <c r="V10" s="112">
        <f>IF(K10&lt;&gt;"",K10+30,"")</f>
        <v/>
      </c>
      <c r="W10" s="113">
        <f>IF(K10="","",IF(X10&lt;&gt;"","NO PRAZO",IF(Y10&lt;&gt;"","FORA DO PRAZO",IF(AND(U10&lt;&gt;"",U10-V10&gt;=0),"FORA DO PRAZO",IF(AND(U10&lt;&gt;"",U10-V10&lt;0),"NO PRAZO","")))))</f>
        <v/>
      </c>
      <c r="X10" s="113">
        <f>IF(K10="","",IF(U10&lt;&gt;"","",IF(TODAY()-V10&lt;=0,V10-TODAY(),"")))</f>
        <v/>
      </c>
      <c r="Y10" s="113">
        <f>IF(K10="","",IF(U10&lt;&gt;"","",IF(TODAY()-V10&gt;0,TODAY()-V10,"")))</f>
        <v/>
      </c>
    </row>
    <row r="11">
      <c r="A11" s="110" t="inlineStr">
        <is>
          <t>GRD_EQP_PR_1_WEG_4630003373_SE IRAPÉ_111026</t>
        </is>
      </c>
      <c r="B11" s="110" t="inlineStr">
        <is>
          <t>SE IRAPÉ</t>
        </is>
      </c>
      <c r="C11" s="110" t="inlineStr">
        <is>
          <t>WEG</t>
        </is>
      </c>
      <c r="D11" s="110" t="inlineStr">
        <is>
          <t>4630003373</t>
        </is>
      </c>
      <c r="E11" s="110" t="inlineStr">
        <is>
          <t>PACOTE - R&amp;M 01_2025</t>
        </is>
      </c>
      <c r="F11" s="110" t="inlineStr">
        <is>
          <t>NIKOLAS LEMOS BAHIA DE OLIVEIRA</t>
        </is>
      </c>
      <c r="G11" s="110" t="inlineStr">
        <is>
          <t>EQUIPAMENTOS - EQP</t>
        </is>
      </c>
      <c r="H11" s="110" t="inlineStr">
        <is>
          <t>EQUIPAMENTOS PRIMÁRIOS - PR</t>
        </is>
      </c>
      <c r="I11" s="110" t="inlineStr">
        <is>
          <t>KÍLDARY DE MELO PAULA</t>
        </is>
      </c>
      <c r="J11" s="111" t="inlineStr">
        <is>
          <t>1</t>
        </is>
      </c>
      <c r="K11" s="112" t="inlineStr">
        <is>
          <t>11/10/2026</t>
        </is>
      </c>
      <c r="L11" s="111" t="inlineStr">
        <is>
          <t>1</t>
        </is>
      </c>
      <c r="M11" s="111" t="inlineStr">
        <is>
          <t>1</t>
        </is>
      </c>
      <c r="N11" s="111" t="inlineStr">
        <is>
          <t>1</t>
        </is>
      </c>
      <c r="O11" s="111" t="inlineStr">
        <is>
          <t>1</t>
        </is>
      </c>
      <c r="P11" s="111" t="inlineStr">
        <is>
          <t>1</t>
        </is>
      </c>
      <c r="Q11" s="111" t="inlineStr">
        <is>
          <t>1</t>
        </is>
      </c>
      <c r="R11" s="111" t="n"/>
      <c r="S11" s="111" t="n"/>
      <c r="T11" s="111" t="n"/>
      <c r="U11" s="111" t="n"/>
      <c r="V11" s="112">
        <f>IF(K11&lt;&gt;"",K11+30,"")</f>
        <v/>
      </c>
      <c r="W11" s="113">
        <f>IF(K11="","",IF(X11&lt;&gt;"","NO PRAZO",IF(Y11&lt;&gt;"","FORA DO PRAZO",IF(AND(U11&lt;&gt;"",U11-V11&gt;=0),"FORA DO PRAZO",IF(AND(U11&lt;&gt;"",U11-V11&lt;0),"NO PRAZO","")))))</f>
        <v/>
      </c>
      <c r="X11" s="113">
        <f>IF(K11="","",IF(U11&lt;&gt;"","",IF(TODAY()-V11&lt;=0,V11-TODAY(),"")))</f>
        <v/>
      </c>
      <c r="Y11" s="113">
        <f>IF(K11="","",IF(U11&lt;&gt;"","",IF(TODAY()-V11&gt;0,TODAY()-V11,"")))</f>
        <v/>
      </c>
    </row>
    <row r="12">
      <c r="A12" s="110" t="inlineStr">
        <is>
          <t>GRD_SE_ELM_10_VISION_4680008320_SE ARAÇUAÍ 2_221026</t>
        </is>
      </c>
      <c r="B12" s="110" t="inlineStr">
        <is>
          <t>SE ARAÇUAÍ 2</t>
        </is>
      </c>
      <c r="C12" s="110" t="inlineStr">
        <is>
          <t>VISION</t>
        </is>
      </c>
      <c r="D12" s="110" t="inlineStr">
        <is>
          <t>4680008320</t>
        </is>
      </c>
      <c r="E12" s="110" t="inlineStr">
        <is>
          <t>PACOTE - R&amp;M 01_2025</t>
        </is>
      </c>
      <c r="F12" s="110" t="inlineStr">
        <is>
          <t>CARLA PINHEIRO</t>
        </is>
      </c>
      <c r="G12" s="110" t="inlineStr">
        <is>
          <t>SUBESTAÇÕES - SE</t>
        </is>
      </c>
      <c r="H12" s="110" t="inlineStr">
        <is>
          <t>ELETROMECÂNICO - ELM</t>
        </is>
      </c>
      <c r="I12" s="110" t="inlineStr">
        <is>
          <t>EZEQUIEL RABELO DE AGUIAR</t>
        </is>
      </c>
      <c r="J12" s="111" t="inlineStr">
        <is>
          <t>10</t>
        </is>
      </c>
      <c r="K12" s="112" t="inlineStr">
        <is>
          <t>22/10/2026</t>
        </is>
      </c>
      <c r="L12" s="111" t="inlineStr">
        <is>
          <t>2</t>
        </is>
      </c>
      <c r="M12" s="111" t="inlineStr">
        <is>
          <t>2</t>
        </is>
      </c>
      <c r="N12" s="111" t="inlineStr">
        <is>
          <t>2</t>
        </is>
      </c>
      <c r="O12" s="111" t="inlineStr">
        <is>
          <t>2</t>
        </is>
      </c>
      <c r="P12" s="111" t="inlineStr">
        <is>
          <t>A1</t>
        </is>
      </c>
      <c r="Q12" s="111" t="inlineStr">
        <is>
          <t>2</t>
        </is>
      </c>
      <c r="R12" s="111" t="n"/>
      <c r="S12" s="111" t="n"/>
      <c r="T12" s="111" t="n"/>
      <c r="U12" s="111" t="n"/>
      <c r="V12" s="112">
        <f>IF(K12&lt;&gt;"",K12+30,"")</f>
        <v/>
      </c>
      <c r="W12" s="113">
        <f>IF(K12="","",IF(X12&lt;&gt;"","NO PRAZO",IF(Y12&lt;&gt;"","FORA DO PRAZO",IF(AND(U12&lt;&gt;"",U12-V12&gt;=0),"FORA DO PRAZO",IF(AND(U12&lt;&gt;"",U12-V12&lt;0),"NO PRAZO","")))))</f>
        <v/>
      </c>
      <c r="X12" s="113">
        <f>IF(K12="","",IF(U12&lt;&gt;"","",IF(TODAY()-V12&lt;=0,V12-TODAY(),"")))</f>
        <v/>
      </c>
      <c r="Y12" s="113">
        <f>IF(K12="","",IF(U12&lt;&gt;"","",IF(TODAY()-V12&gt;0,TODAY()-V12,"")))</f>
        <v/>
      </c>
    </row>
    <row r="13">
      <c r="A13" s="110" t="inlineStr">
        <is>
          <t>GRD_SE_ELM_10_VISION_4680008320_SE ARAÇUAÍ 2_221026</t>
        </is>
      </c>
      <c r="B13" s="110" t="inlineStr">
        <is>
          <t>SE ARAÇUAÍ 2</t>
        </is>
      </c>
      <c r="C13" s="110" t="inlineStr">
        <is>
          <t>VISION</t>
        </is>
      </c>
      <c r="D13" s="110" t="inlineStr">
        <is>
          <t>4680008320</t>
        </is>
      </c>
      <c r="E13" s="110" t="inlineStr">
        <is>
          <t>PACOTE - R&amp;M 01_2025</t>
        </is>
      </c>
      <c r="F13" s="110" t="inlineStr">
        <is>
          <t>CARLA PINHEIRO</t>
        </is>
      </c>
      <c r="G13" s="110" t="inlineStr">
        <is>
          <t>SUBESTAÇÕES - SE</t>
        </is>
      </c>
      <c r="H13" s="110" t="inlineStr">
        <is>
          <t>ELETROMECÂNICO - ELM</t>
        </is>
      </c>
      <c r="I13" s="110" t="inlineStr">
        <is>
          <t>EZEQUIEL RABELO DE AGUIAR</t>
        </is>
      </c>
      <c r="J13" s="111" t="inlineStr">
        <is>
          <t>10</t>
        </is>
      </c>
      <c r="K13" s="112" t="inlineStr">
        <is>
          <t>22/10/2026</t>
        </is>
      </c>
      <c r="L13" s="111" t="inlineStr">
        <is>
          <t>3</t>
        </is>
      </c>
      <c r="M13" s="111" t="inlineStr">
        <is>
          <t>3</t>
        </is>
      </c>
      <c r="N13" s="111" t="inlineStr">
        <is>
          <t>3</t>
        </is>
      </c>
      <c r="O13" s="111" t="inlineStr">
        <is>
          <t>3</t>
        </is>
      </c>
      <c r="P13" s="111" t="inlineStr">
        <is>
          <t>A2</t>
        </is>
      </c>
      <c r="Q13" s="111" t="inlineStr">
        <is>
          <t>3</t>
        </is>
      </c>
      <c r="R13" s="111" t="n"/>
      <c r="S13" s="111" t="n"/>
      <c r="T13" s="111" t="n"/>
      <c r="U13" s="111" t="n"/>
      <c r="V13" s="112">
        <f>IF(K13&lt;&gt;"",K13+30,"")</f>
        <v/>
      </c>
      <c r="W13" s="113">
        <f>IF(K13="","",IF(X13&lt;&gt;"","NO PRAZO",IF(Y13&lt;&gt;"","FORA DO PRAZO",IF(AND(U13&lt;&gt;"",U13-V13&gt;=0),"FORA DO PRAZO",IF(AND(U13&lt;&gt;"",U13-V13&lt;0),"NO PRAZO","")))))</f>
        <v/>
      </c>
      <c r="X13" s="113">
        <f>IF(K13="","",IF(U13&lt;&gt;"","",IF(TODAY()-V13&lt;=0,V13-TODAY(),"")))</f>
        <v/>
      </c>
      <c r="Y13" s="113">
        <f>IF(K13="","",IF(U13&lt;&gt;"","",IF(TODAY()-V13&gt;0,TODAY()-V13,"")))</f>
        <v/>
      </c>
    </row>
    <row r="14">
      <c r="A14" s="110" t="inlineStr">
        <is>
          <t>GRD_SE_ELM_10_VISION_4680008320_SE ARAÇUAÍ 2_221026</t>
        </is>
      </c>
      <c r="B14" s="110" t="inlineStr">
        <is>
          <t>SE ARAÇUAÍ 2</t>
        </is>
      </c>
      <c r="C14" s="110" t="inlineStr">
        <is>
          <t>VISION</t>
        </is>
      </c>
      <c r="D14" s="110" t="inlineStr">
        <is>
          <t>4680008320</t>
        </is>
      </c>
      <c r="E14" s="110" t="inlineStr">
        <is>
          <t>PACOTE - R&amp;M 01_2025</t>
        </is>
      </c>
      <c r="F14" s="110" t="inlineStr">
        <is>
          <t>CARLA PINHEIRO</t>
        </is>
      </c>
      <c r="G14" s="110" t="inlineStr">
        <is>
          <t>SUBESTAÇÕES - SE</t>
        </is>
      </c>
      <c r="H14" s="110" t="inlineStr">
        <is>
          <t>ELETROMECÂNICO - ELM</t>
        </is>
      </c>
      <c r="I14" s="110" t="inlineStr">
        <is>
          <t>EZEQUIEL RABELO DE AGUIAR</t>
        </is>
      </c>
      <c r="J14" s="111" t="inlineStr">
        <is>
          <t>10</t>
        </is>
      </c>
      <c r="K14" s="112" t="inlineStr">
        <is>
          <t>22/10/2026</t>
        </is>
      </c>
      <c r="L14" s="111" t="inlineStr">
        <is>
          <t>4</t>
        </is>
      </c>
      <c r="M14" s="111" t="inlineStr">
        <is>
          <t>4</t>
        </is>
      </c>
      <c r="N14" s="111" t="inlineStr">
        <is>
          <t>4</t>
        </is>
      </c>
      <c r="O14" s="111" t="inlineStr">
        <is>
          <t>4</t>
        </is>
      </c>
      <c r="P14" s="111" t="inlineStr">
        <is>
          <t>A3</t>
        </is>
      </c>
      <c r="Q14" s="111" t="inlineStr">
        <is>
          <t>4</t>
        </is>
      </c>
      <c r="R14" s="111" t="n"/>
      <c r="S14" s="111" t="n"/>
      <c r="T14" s="111" t="n"/>
      <c r="U14" s="111" t="n"/>
      <c r="V14" s="112">
        <f>IF(K14&lt;&gt;"",K14+30,"")</f>
        <v/>
      </c>
      <c r="W14" s="113">
        <f>IF(K14="","",IF(X14&lt;&gt;"","NO PRAZO",IF(Y14&lt;&gt;"","FORA DO PRAZO",IF(AND(U14&lt;&gt;"",U14-V14&gt;=0),"FORA DO PRAZO",IF(AND(U14&lt;&gt;"",U14-V14&lt;0),"NO PRAZO","")))))</f>
        <v/>
      </c>
      <c r="X14" s="113">
        <f>IF(K14="","",IF(U14&lt;&gt;"","",IF(TODAY()-V14&lt;=0,V14-TODAY(),"")))</f>
        <v/>
      </c>
      <c r="Y14" s="113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2026-10-23T14:13:23Z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