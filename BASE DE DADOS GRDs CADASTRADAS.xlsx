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2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7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7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>
        <f>IF(K6="","",IF(U6&lt;&gt;"","",IF(TODAY()-V6&lt;=0,V6-TODAY(),"")))</f>
        <v/>
      </c>
      <c r="Y6" s="108">
        <f>IF(K6="","",IF(U6&lt;&gt;"","",IF(TODAY()-V6&gt;0,TODAY()-V6,"")))</f>
        <v/>
      </c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9" t="n"/>
      <c r="K7" s="4" t="n"/>
      <c r="L7" s="3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7">
        <f>IF(K7&lt;&gt;"",K7+30,"")</f>
        <v/>
      </c>
      <c r="W7" s="12">
        <f>IF(K7="","",IF(X7&lt;&gt;"","NO PRAZO",IF(Y7&lt;&gt;"","FORA DO PRAZO",IF(AND(U7&lt;&gt;"",U7-V7&gt;=0),"FORA DO PRAZO",IF(AND(U7&lt;&gt;"",U7-V7&lt;0),"NO PRAZO","")))))</f>
        <v/>
      </c>
      <c r="X7" s="12">
        <f>IF(K7="","",IF(U7&lt;&gt;"","",IF(TODAY()-V7&lt;=0,V7-TODAY(),"")))</f>
        <v/>
      </c>
      <c r="Y7" s="12">
        <f>IF(K7="","",IF(U7&lt;&gt;"","",IF(TODAY()-V7&gt;0,TODAY()-V7,"")))</f>
        <v/>
      </c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4" t="n"/>
      <c r="K8" s="4" t="n"/>
      <c r="L8" s="3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0">
        <f>IF(K8&lt;&gt;"",K8+30,"")</f>
        <v/>
      </c>
      <c r="W8" s="11">
        <f>IF(K8="","",IF(X8&lt;&gt;"","NO PRAZO",IF(Y8&lt;&gt;"","FORA DO PRAZO",IF(AND(U8&lt;&gt;"",U8-V8&gt;=0),"FORA DO PRAZO",IF(AND(U8&lt;&gt;"",U8-V8&lt;0),"NO PRAZO","")))))</f>
        <v/>
      </c>
      <c r="X8" s="11">
        <f>IF(K8="","",IF(U8&lt;&gt;"","",IF(TODAY()-V8&lt;=0,V8-TODAY(),"")))</f>
        <v/>
      </c>
      <c r="Y8" s="11">
        <f>IF(K8="","",IF(U8&lt;&gt;"","",IF(TODAY()-V8&gt;0,TODAY()-V8,"")))</f>
        <v/>
      </c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4" t="n"/>
      <c r="K9" s="4" t="n"/>
      <c r="L9" s="3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0">
        <f>IF(K9&lt;&gt;"",K9+30,"")</f>
        <v/>
      </c>
      <c r="W9" s="11">
        <f>IF(K9="","",IF(X9&lt;&gt;"","NO PRAZO",IF(Y9&lt;&gt;"","FORA DO PRAZO",IF(AND(U9&lt;&gt;"",U9-V9&gt;=0),"FORA DO PRAZO",IF(AND(U9&lt;&gt;"",U9-V9&lt;0),"NO PRAZO","")))))</f>
        <v/>
      </c>
      <c r="X9" s="11">
        <f>IF(K9="","",IF(U9&lt;&gt;"","",IF(TODAY()-V9&lt;=0,V9-TODAY(),"")))</f>
        <v/>
      </c>
      <c r="Y9" s="11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2026-10-23T12:44:24Z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