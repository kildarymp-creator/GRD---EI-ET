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2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APROVADA</t>
        </is>
      </c>
      <c r="T2" s="111" t="inlineStr">
        <is>
          <t>KÍLDARY DE MELO PAULA</t>
        </is>
      </c>
      <c r="U2" s="112" t="inlineStr">
        <is>
          <t>23/10/2026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n"/>
      <c r="S3" s="111" t="n"/>
      <c r="T3" s="111" t="n"/>
      <c r="U3" s="111" t="n"/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7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7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>
        <f>IF(K6="","",IF(U6&lt;&gt;"","",IF(TODAY()-V6&lt;=0,V6-TODAY(),"")))</f>
        <v/>
      </c>
      <c r="Y6" s="108">
        <f>IF(K6="","",IF(U6&lt;&gt;"","",IF(TODAY()-V6&gt;0,TODAY()-V6,"")))</f>
        <v/>
      </c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9" t="n"/>
      <c r="K7" s="4" t="n"/>
      <c r="L7" s="3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7">
        <f>IF(K7&lt;&gt;"",K7+30,"")</f>
        <v/>
      </c>
      <c r="W7" s="12">
        <f>IF(K7="","",IF(X7&lt;&gt;"","NO PRAZO",IF(Y7&lt;&gt;"","FORA DO PRAZO",IF(AND(U7&lt;&gt;"",U7-V7&gt;=0),"FORA DO PRAZO",IF(AND(U7&lt;&gt;"",U7-V7&lt;0),"NO PRAZO","")))))</f>
        <v/>
      </c>
      <c r="X7" s="12">
        <f>IF(K7="","",IF(U7&lt;&gt;"","",IF(TODAY()-V7&lt;=0,V7-TODAY(),"")))</f>
        <v/>
      </c>
      <c r="Y7" s="12">
        <f>IF(K7="","",IF(U7&lt;&gt;"","",IF(TODAY()-V7&gt;0,TODAY()-V7,"")))</f>
        <v/>
      </c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4" t="n"/>
      <c r="K8" s="4" t="n"/>
      <c r="L8" s="3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0">
        <f>IF(K8&lt;&gt;"",K8+30,"")</f>
        <v/>
      </c>
      <c r="W8" s="11">
        <f>IF(K8="","",IF(X8&lt;&gt;"","NO PRAZO",IF(Y8&lt;&gt;"","FORA DO PRAZO",IF(AND(U8&lt;&gt;"",U8-V8&gt;=0),"FORA DO PRAZO",IF(AND(U8&lt;&gt;"",U8-V8&lt;0),"NO PRAZO","")))))</f>
        <v/>
      </c>
      <c r="X8" s="11">
        <f>IF(K8="","",IF(U8&lt;&gt;"","",IF(TODAY()-V8&lt;=0,V8-TODAY(),"")))</f>
        <v/>
      </c>
      <c r="Y8" s="11">
        <f>IF(K8="","",IF(U8&lt;&gt;"","",IF(TODAY()-V8&gt;0,TODAY()-V8,"")))</f>
        <v/>
      </c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4" t="n"/>
      <c r="K9" s="4" t="n"/>
      <c r="L9" s="3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0">
        <f>IF(K9&lt;&gt;"",K9+30,"")</f>
        <v/>
      </c>
      <c r="W9" s="11">
        <f>IF(K9="","",IF(X9&lt;&gt;"","NO PRAZO",IF(Y9&lt;&gt;"","FORA DO PRAZO",IF(AND(U9&lt;&gt;"",U9-V9&gt;=0),"FORA DO PRAZO",IF(AND(U9&lt;&gt;"",U9-V9&lt;0),"NO PRAZO","")))))</f>
        <v/>
      </c>
      <c r="X9" s="11">
        <f>IF(K9="","",IF(U9&lt;&gt;"","",IF(TODAY()-V9&lt;=0,V9-TODAY(),"")))</f>
        <v/>
      </c>
      <c r="Y9" s="11">
        <f>IF(K9="","",IF(U9&lt;&gt;"","",IF(TODAY()-V9&gt;0,TODAY()-V9,"")))</f>
        <v/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4" t="n"/>
      <c r="K10" s="4" t="n"/>
      <c r="L10" s="3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0">
        <f>IF(K10&lt;&gt;"",K10+30,"")</f>
        <v/>
      </c>
      <c r="W10" s="11">
        <f>IF(K10="","",IF(X10&lt;&gt;"","NO PRAZO",IF(Y10&lt;&gt;"","FORA DO PRAZO",IF(AND(U10&lt;&gt;"",U10-V10&gt;=0),"FORA DO PRAZO",IF(AND(U10&lt;&gt;"",U10-V10&lt;0),"NO PRAZO","")))))</f>
        <v/>
      </c>
      <c r="X10" s="11">
        <f>IF(K10="","",IF(U10&lt;&gt;"","",IF(TODAY()-V10&lt;=0,V10-TODAY(),"")))</f>
        <v/>
      </c>
      <c r="Y10" s="11">
        <f>IF(K10="","",IF(U10&lt;&gt;"","",IF(TODAY()-V10&gt;0,TODAY()-V10,"")))</f>
        <v/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4" t="n"/>
      <c r="L11" s="3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7">
        <f>IF(K11&lt;&gt;"",K11+30,"")</f>
        <v/>
      </c>
      <c r="W11" s="18">
        <f>IF(K11="","",IF(X11&lt;&gt;"","NO PRAZO",IF(Y11&lt;&gt;"","FORA DO PRAZO",IF(AND(U11&lt;&gt;"",U11-V11&gt;=0),"FORA DO PRAZO",IF(AND(U11&lt;&gt;"",U11-V11&lt;0),"NO PRAZO","")))))</f>
        <v/>
      </c>
      <c r="X11" s="18">
        <f>IF(K11="","",IF(U11&lt;&gt;"","",IF(TODAY()-V11&lt;=0,V11-TODAY(),"")))</f>
        <v/>
      </c>
      <c r="Y11" s="18">
        <f>IF(K11="","",IF(U11&lt;&gt;"","",IF(TODAY()-V11&gt;0,TODAY()-V11,"")))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4" t="n"/>
      <c r="L12" s="3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7">
        <f>IF(K12&lt;&gt;"",K12+30,"")</f>
        <v/>
      </c>
      <c r="W12" s="18">
        <f>IF(K12="","",IF(X12&lt;&gt;"","NO PRAZO",IF(Y12&lt;&gt;"","FORA DO PRAZO",IF(AND(U12&lt;&gt;"",U12-V12&gt;=0),"FORA DO PRAZO",IF(AND(U12&lt;&gt;"",U12-V12&lt;0),"NO PRAZO","")))))</f>
        <v/>
      </c>
      <c r="X12" s="18">
        <f>IF(K12="","",IF(U12&lt;&gt;"","",IF(TODAY()-V12&lt;=0,V12-TODAY(),"")))</f>
        <v/>
      </c>
      <c r="Y12" s="18">
        <f>IF(K12="","",IF(U12&lt;&gt;"","",IF(TODAY()-V12&gt;0,TODAY()-V12,"")))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4" t="n"/>
      <c r="L13" s="3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1">
        <f>IF(K13&lt;&gt;"",K13+30,"")</f>
        <v/>
      </c>
      <c r="W13" s="22">
        <f>IF(K13="","",IF(X13&lt;&gt;"","NO PRAZO",IF(Y13&lt;&gt;"","FORA DO PRAZO",IF(AND(U13&lt;&gt;"",U13-V13&gt;=0),"FORA DO PRAZO",IF(AND(U13&lt;&gt;"",U13-V13&lt;0),"NO PRAZO","")))))</f>
        <v/>
      </c>
      <c r="X13" s="22">
        <f>IF(K13="","",IF(U13&lt;&gt;"","",IF(TODAY()-V13&lt;=0,V13-TODAY(),"")))</f>
        <v/>
      </c>
      <c r="Y13" s="22">
        <f>IF(K13="","",IF(U13&lt;&gt;"","",IF(TODAY()-V13&gt;0,TODAY()-V13,"")))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" t="n"/>
      <c r="L14" s="3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5">
        <f>IF(K14&lt;&gt;"",K14+30,"")</f>
        <v/>
      </c>
      <c r="W14" s="26">
        <f>IF(K14="","",IF(X14&lt;&gt;"","NO PRAZO",IF(Y14&lt;&gt;"","FORA DO PRAZO",IF(AND(U14&lt;&gt;"",U14-V14&gt;=0),"FORA DO PRAZO",IF(AND(U14&lt;&gt;"",U14-V14&lt;0),"NO PRAZO","")))))</f>
        <v/>
      </c>
      <c r="X14" s="26">
        <f>IF(K14="","",IF(U14&lt;&gt;"","",IF(TODAY()-V14&lt;=0,V14-TODAY(),"")))</f>
        <v/>
      </c>
      <c r="Y14" s="26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2026-10-23T11:57:26Z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