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5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n"/>
      <c r="S4" s="111" t="n"/>
      <c r="T4" s="111" t="n"/>
      <c r="U4" s="111" t="n"/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n"/>
      <c r="S5" s="111" t="n"/>
      <c r="T5" s="111" t="n"/>
      <c r="U5" s="111" t="n"/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GRD_SE_ELM_1_VISION_4680008320_SE ARAÇUAÍ 2_221026</t>
        </is>
      </c>
      <c r="B6" s="110" t="inlineStr">
        <is>
          <t>SE ARAÇUAÍ 2</t>
        </is>
      </c>
      <c r="C6" s="110" t="inlineStr">
        <is>
          <t>VISION</t>
        </is>
      </c>
      <c r="D6" s="110" t="inlineStr">
        <is>
          <t>4680008320</t>
        </is>
      </c>
      <c r="E6" s="110" t="inlineStr">
        <is>
          <t>PACOTE - R&amp;M 01_2025</t>
        </is>
      </c>
      <c r="F6" s="110" t="inlineStr">
        <is>
          <t>CARLA PINHEIRO</t>
        </is>
      </c>
      <c r="G6" s="110" t="inlineStr">
        <is>
          <t>SUBESTAÇÕES - SE</t>
        </is>
      </c>
      <c r="H6" s="110" t="inlineStr">
        <is>
          <t>ELETROMECÂNICO - ELM</t>
        </is>
      </c>
      <c r="I6" s="110" t="inlineStr">
        <is>
          <t>EZEQUIEL RABELO DE AGUIAR</t>
        </is>
      </c>
      <c r="J6" s="111" t="inlineStr">
        <is>
          <t>1</t>
        </is>
      </c>
      <c r="K6" s="112" t="inlineStr">
        <is>
          <t>22/10/2026</t>
        </is>
      </c>
      <c r="L6" s="111" t="inlineStr">
        <is>
          <t>2</t>
        </is>
      </c>
      <c r="M6" s="111" t="inlineStr">
        <is>
          <t>2</t>
        </is>
      </c>
      <c r="N6" s="111" t="inlineStr">
        <is>
          <t>2</t>
        </is>
      </c>
      <c r="O6" s="111" t="inlineStr">
        <is>
          <t>2</t>
        </is>
      </c>
      <c r="P6" s="111" t="inlineStr">
        <is>
          <t>A1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JÚLIA ROCHA ARAÚJO</t>
        </is>
      </c>
      <c r="U6" s="111" t="inlineStr">
        <is>
          <t>23/10/2026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10" t="inlineStr">
        <is>
          <t>GRD_SE_ELM_1_VISION_4680008320_SE ARAÇUAÍ 2_221026</t>
        </is>
      </c>
      <c r="B7" s="110" t="inlineStr">
        <is>
          <t>SE ARAÇUAÍ 2</t>
        </is>
      </c>
      <c r="C7" s="110" t="inlineStr">
        <is>
          <t>VISION</t>
        </is>
      </c>
      <c r="D7" s="110" t="inlineStr">
        <is>
          <t>4680008320</t>
        </is>
      </c>
      <c r="E7" s="110" t="inlineStr">
        <is>
          <t>PACOTE - R&amp;M 01_2025</t>
        </is>
      </c>
      <c r="F7" s="110" t="inlineStr">
        <is>
          <t>CARLA PINHEIRO</t>
        </is>
      </c>
      <c r="G7" s="110" t="inlineStr">
        <is>
          <t>SUBESTAÇÕES - SE</t>
        </is>
      </c>
      <c r="H7" s="110" t="inlineStr">
        <is>
          <t>ELETROMECÂNICO - ELM</t>
        </is>
      </c>
      <c r="I7" s="110" t="inlineStr">
        <is>
          <t>EZEQUIEL RABELO DE AGUIAR</t>
        </is>
      </c>
      <c r="J7" s="111" t="inlineStr">
        <is>
          <t>1</t>
        </is>
      </c>
      <c r="K7" s="112" t="inlineStr">
        <is>
          <t>22/10/2026</t>
        </is>
      </c>
      <c r="L7" s="111" t="inlineStr">
        <is>
          <t>3</t>
        </is>
      </c>
      <c r="M7" s="111" t="inlineStr">
        <is>
          <t>3</t>
        </is>
      </c>
      <c r="N7" s="111" t="inlineStr">
        <is>
          <t>3</t>
        </is>
      </c>
      <c r="O7" s="111" t="inlineStr">
        <is>
          <t>3</t>
        </is>
      </c>
      <c r="P7" s="111" t="inlineStr">
        <is>
          <t>A2</t>
        </is>
      </c>
      <c r="Q7" s="111" t="inlineStr">
        <is>
          <t>3</t>
        </is>
      </c>
      <c r="R7" s="111" t="inlineStr">
        <is>
          <t>NÃO SE APLICA</t>
        </is>
      </c>
      <c r="S7" s="111" t="inlineStr">
        <is>
          <t>REPROVADA</t>
        </is>
      </c>
      <c r="T7" s="111" t="inlineStr">
        <is>
          <t>JÚLIA ROCHA ARAÚJO</t>
        </is>
      </c>
      <c r="U7" s="111" t="inlineStr">
        <is>
          <t>23/10/2026</t>
        </is>
      </c>
      <c r="V7" s="112">
        <f>IF(K7&lt;&gt;"",K7+30,"")</f>
        <v/>
      </c>
      <c r="W7" s="113">
        <f>IF(K7="","",IF(X7&lt;&gt;"","NO PRAZO",IF(Y7&lt;&gt;"","FORA DO PRAZO",IF(AND(U7&lt;&gt;"",U7-V7&gt;=0),"FORA DO PRAZO",IF(AND(U7&lt;&gt;"",U7-V7&lt;0),"NO PRAZO","")))))</f>
        <v/>
      </c>
      <c r="X7" s="113">
        <f>IF(K7="","",IF(U7&lt;&gt;"","",IF(TODAY()-V7&lt;=0,V7-TODAY(),"")))</f>
        <v/>
      </c>
      <c r="Y7" s="113">
        <f>IF(K7="","",IF(U7&lt;&gt;"","",IF(TODAY()-V7&gt;0,TODAY()-V7,"")))</f>
        <v/>
      </c>
    </row>
    <row r="8">
      <c r="A8" s="110" t="inlineStr">
        <is>
          <t>GRD_SE_ELM_1_VISION_4680008320_SE ARAÇUAÍ 2_221026</t>
        </is>
      </c>
      <c r="B8" s="110" t="inlineStr">
        <is>
          <t>SE ARAÇUAÍ 2</t>
        </is>
      </c>
      <c r="C8" s="110" t="inlineStr">
        <is>
          <t>VISION</t>
        </is>
      </c>
      <c r="D8" s="110" t="inlineStr">
        <is>
          <t>4680008320</t>
        </is>
      </c>
      <c r="E8" s="110" t="inlineStr">
        <is>
          <t>PACOTE - R&amp;M 01_2025</t>
        </is>
      </c>
      <c r="F8" s="110" t="inlineStr">
        <is>
          <t>CARLA PINHEIRO</t>
        </is>
      </c>
      <c r="G8" s="110" t="inlineStr">
        <is>
          <t>SUBESTAÇÕES - SE</t>
        </is>
      </c>
      <c r="H8" s="110" t="inlineStr">
        <is>
          <t>ELETROMECÂNICO - ELM</t>
        </is>
      </c>
      <c r="I8" s="110" t="inlineStr">
        <is>
          <t>EZEQUIEL RABELO DE AGUIAR</t>
        </is>
      </c>
      <c r="J8" s="111" t="inlineStr">
        <is>
          <t>1</t>
        </is>
      </c>
      <c r="K8" s="112" t="inlineStr">
        <is>
          <t>22/10/2026</t>
        </is>
      </c>
      <c r="L8" s="111" t="inlineStr">
        <is>
          <t>4</t>
        </is>
      </c>
      <c r="M8" s="111" t="inlineStr">
        <is>
          <t>4</t>
        </is>
      </c>
      <c r="N8" s="111" t="inlineStr">
        <is>
          <t>4</t>
        </is>
      </c>
      <c r="O8" s="111" t="inlineStr">
        <is>
          <t>4</t>
        </is>
      </c>
      <c r="P8" s="111" t="inlineStr">
        <is>
          <t>A3</t>
        </is>
      </c>
      <c r="Q8" s="111" t="inlineStr">
        <is>
          <t>4</t>
        </is>
      </c>
      <c r="R8" s="111" t="inlineStr">
        <is>
          <t>NÃO SE APLICA</t>
        </is>
      </c>
      <c r="S8" s="111" t="inlineStr">
        <is>
          <t>REPROVADA</t>
        </is>
      </c>
      <c r="T8" s="111" t="inlineStr">
        <is>
          <t>JÚLIA ROCHA ARAÚJO</t>
        </is>
      </c>
      <c r="U8" s="111" t="inlineStr">
        <is>
          <t>23/10/2026</t>
        </is>
      </c>
      <c r="V8" s="112">
        <f>IF(K8&lt;&gt;"",K8+30,"")</f>
        <v/>
      </c>
      <c r="W8" s="113">
        <f>IF(K8="","",IF(X8&lt;&gt;"","NO PRAZO",IF(Y8&lt;&gt;"","FORA DO PRAZO",IF(AND(U8&lt;&gt;"",U8-V8&gt;=0),"FORA DO PRAZO",IF(AND(U8&lt;&gt;"",U8-V8&lt;0),"NO PRAZO","")))))</f>
        <v/>
      </c>
      <c r="X8" s="113">
        <f>IF(K8="","",IF(U8&lt;&gt;"","",IF(TODAY()-V8&lt;=0,V8-TODAY(),"")))</f>
        <v/>
      </c>
      <c r="Y8" s="113">
        <f>IF(K8="","",IF(U8&lt;&gt;"","",IF(TODAY()-V8&gt;0,TODAY()-V8,"")))</f>
        <v/>
      </c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4" t="n"/>
      <c r="K9" s="4" t="n"/>
      <c r="L9" s="3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0">
        <f>IF(K9&lt;&gt;"",K9+30,"")</f>
        <v/>
      </c>
      <c r="W9" s="11">
        <f>IF(K9="","",IF(X9&lt;&gt;"","NO PRAZO",IF(Y9&lt;&gt;"","FORA DO PRAZO",IF(AND(U9&lt;&gt;"",U9-V9&gt;=0),"FORA DO PRAZO",IF(AND(U9&lt;&gt;"",U9-V9&lt;0),"NO PRAZO","")))))</f>
        <v/>
      </c>
      <c r="X9" s="11">
        <f>IF(K9="","",IF(U9&lt;&gt;"","",IF(TODAY()-V9&lt;=0,V9-TODAY(),"")))</f>
        <v/>
      </c>
      <c r="Y9" s="11">
        <f>IF(K9="","",IF(U9&lt;&gt;"","",IF(TODAY()-V9&gt;0,TODAY()-V9,"")))</f>
        <v/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 t="n"/>
      <c r="K10" s="4" t="n"/>
      <c r="L10" s="3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0">
        <f>IF(K10&lt;&gt;"",K10+30,"")</f>
        <v/>
      </c>
      <c r="W10" s="11">
        <f>IF(K10="","",IF(X10&lt;&gt;"","NO PRAZO",IF(Y10&lt;&gt;"","FORA DO PRAZO",IF(AND(U10&lt;&gt;"",U10-V10&gt;=0),"FORA DO PRAZO",IF(AND(U10&lt;&gt;"",U10-V10&lt;0),"NO PRAZO","")))))</f>
        <v/>
      </c>
      <c r="X10" s="11">
        <f>IF(K10="","",IF(U10&lt;&gt;"","",IF(TODAY()-V10&lt;=0,V10-TODAY(),"")))</f>
        <v/>
      </c>
      <c r="Y10" s="11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2026-10-23T13:13:30Z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