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5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KÍLDARY DE MELO PAULA</t>
        </is>
      </c>
      <c r="U3" s="111" t="inlineStr">
        <is>
          <t>23/10/2026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10" t="inlineStr">
        <is>
          <t>GRD_EQP_PR_2_WEG_4630003373_SEs DIVERSAS_221026</t>
        </is>
      </c>
      <c r="B4" s="110" t="inlineStr">
        <is>
          <t>SEs DIVERSAS</t>
        </is>
      </c>
      <c r="C4" s="110" t="inlineStr">
        <is>
          <t>WEG</t>
        </is>
      </c>
      <c r="D4" s="110" t="inlineStr">
        <is>
          <t>4630003373</t>
        </is>
      </c>
      <c r="E4" s="110" t="inlineStr">
        <is>
          <t>PACOTE - R&amp;M 01_2025</t>
        </is>
      </c>
      <c r="F4" s="110" t="inlineStr">
        <is>
          <t>AMANDA FELIPETTO ALVES PEREIRA</t>
        </is>
      </c>
      <c r="G4" s="110" t="inlineStr">
        <is>
          <t>EQUIPAMENTOS - EQP</t>
        </is>
      </c>
      <c r="H4" s="110" t="inlineStr">
        <is>
          <t>EQUIPAMENTOS PRIMÁRIOS - PR</t>
        </is>
      </c>
      <c r="I4" s="110" t="inlineStr">
        <is>
          <t>KÍLDARY DE MELO PAULA</t>
        </is>
      </c>
      <c r="J4" s="111" t="inlineStr">
        <is>
          <t>2</t>
        </is>
      </c>
      <c r="K4" s="112" t="inlineStr">
        <is>
          <t>22/10/2026</t>
        </is>
      </c>
      <c r="L4" s="111" t="inlineStr">
        <is>
          <t>1</t>
        </is>
      </c>
      <c r="M4" s="111" t="inlineStr">
        <is>
          <t>1</t>
        </is>
      </c>
      <c r="N4" s="111" t="inlineStr">
        <is>
          <t>1</t>
        </is>
      </c>
      <c r="O4" s="111" t="inlineStr">
        <is>
          <t>1</t>
        </is>
      </c>
      <c r="P4" s="111" t="inlineStr">
        <is>
          <t>A1</t>
        </is>
      </c>
      <c r="Q4" s="111" t="inlineStr">
        <is>
          <t>1</t>
        </is>
      </c>
      <c r="R4" s="111" t="inlineStr">
        <is>
          <t>NÃO SE APLICA</t>
        </is>
      </c>
      <c r="S4" s="111" t="inlineStr">
        <is>
          <t>APROVADA</t>
        </is>
      </c>
      <c r="T4" s="111" t="inlineStr">
        <is>
          <t>JANAÍNA GOMES DA COSTA</t>
        </is>
      </c>
      <c r="U4" s="111" t="inlineStr">
        <is>
          <t>23/10/2026</t>
        </is>
      </c>
      <c r="V4" s="112">
        <f>IF(K4&lt;&gt;"",K4+30,"")</f>
        <v/>
      </c>
      <c r="W4" s="113">
        <f>IF(K4="","",IF(X4&lt;&gt;"","NO PRAZO",IF(Y4&lt;&gt;"","FORA DO PRAZO",IF(AND(U4&lt;&gt;"",U4-V4&gt;=0),"FORA DO PRAZO",IF(AND(U4&lt;&gt;"",U4-V4&lt;0),"NO PRAZO","")))))</f>
        <v/>
      </c>
      <c r="X4" s="113">
        <f>IF(K4="","",IF(U4&lt;&gt;"","",IF(TODAY()-V4&lt;=0,V4-TODAY(),"")))</f>
        <v/>
      </c>
      <c r="Y4" s="113">
        <f>IF(K4="","",IF(U4&lt;&gt;"","",IF(TODAY()-V4&gt;0,TODAY()-V4,"")))</f>
        <v/>
      </c>
    </row>
    <row r="5">
      <c r="A5" s="110" t="inlineStr">
        <is>
          <t>GRD_EQP_PR_2_WEG_4630003373_SEs DIVERSAS_221026</t>
        </is>
      </c>
      <c r="B5" s="110" t="inlineStr">
        <is>
          <t>SEs DIVERSAS</t>
        </is>
      </c>
      <c r="C5" s="110" t="inlineStr">
        <is>
          <t>WEG</t>
        </is>
      </c>
      <c r="D5" s="110" t="inlineStr">
        <is>
          <t>4630003373</t>
        </is>
      </c>
      <c r="E5" s="110" t="inlineStr">
        <is>
          <t>PACOTE - R&amp;M 01_2025</t>
        </is>
      </c>
      <c r="F5" s="110" t="inlineStr">
        <is>
          <t>AMANDA FELIPETTO ALVES PEREIRA</t>
        </is>
      </c>
      <c r="G5" s="110" t="inlineStr">
        <is>
          <t>EQUIPAMENTOS - EQP</t>
        </is>
      </c>
      <c r="H5" s="110" t="inlineStr">
        <is>
          <t>EQUIPAMENTOS PRIMÁRIOS - PR</t>
        </is>
      </c>
      <c r="I5" s="110" t="inlineStr">
        <is>
          <t>KÍLDARY DE MELO PAULA</t>
        </is>
      </c>
      <c r="J5" s="111" t="inlineStr">
        <is>
          <t>2</t>
        </is>
      </c>
      <c r="K5" s="112" t="inlineStr">
        <is>
          <t>22/10/2026</t>
        </is>
      </c>
      <c r="L5" s="111" t="inlineStr">
        <is>
          <t>2</t>
        </is>
      </c>
      <c r="M5" s="111" t="inlineStr">
        <is>
          <t>2</t>
        </is>
      </c>
      <c r="N5" s="111" t="inlineStr">
        <is>
          <t>2</t>
        </is>
      </c>
      <c r="O5" s="111" t="inlineStr">
        <is>
          <t>2</t>
        </is>
      </c>
      <c r="P5" s="111" t="inlineStr">
        <is>
          <t>A2</t>
        </is>
      </c>
      <c r="Q5" s="111" t="inlineStr">
        <is>
          <t>2</t>
        </is>
      </c>
      <c r="R5" s="111" t="inlineStr">
        <is>
          <t>NÃO SE APLICA</t>
        </is>
      </c>
      <c r="S5" s="111" t="inlineStr">
        <is>
          <t>APROVADA</t>
        </is>
      </c>
      <c r="T5" s="111" t="inlineStr">
        <is>
          <t>JANAÍNA GOMES DA COSTA</t>
        </is>
      </c>
      <c r="U5" s="111" t="inlineStr">
        <is>
          <t>23/10/2026</t>
        </is>
      </c>
      <c r="V5" s="112">
        <f>IF(K5&lt;&gt;"",K5+30,"")</f>
        <v/>
      </c>
      <c r="W5" s="113">
        <f>IF(K5="","",IF(X5&lt;&gt;"","NO PRAZO",IF(Y5&lt;&gt;"","FORA DO PRAZO",IF(AND(U5&lt;&gt;"",U5-V5&gt;=0),"FORA DO PRAZO",IF(AND(U5&lt;&gt;"",U5-V5&lt;0),"NO PRAZO","")))))</f>
        <v/>
      </c>
      <c r="X5" s="113">
        <f>IF(K5="","",IF(U5&lt;&gt;"","",IF(TODAY()-V5&lt;=0,V5-TODAY(),"")))</f>
        <v/>
      </c>
      <c r="Y5" s="113">
        <f>IF(K5="","",IF(U5&lt;&gt;"","",IF(TODAY()-V5&gt;0,TODAY()-V5,"")))</f>
        <v/>
      </c>
    </row>
    <row r="6">
      <c r="A6" s="110" t="inlineStr">
        <is>
          <t>GRD_SE_ELM_1_VISION_4680008320_SE ARAÇUAÍ 2_221026</t>
        </is>
      </c>
      <c r="B6" s="110" t="inlineStr">
        <is>
          <t>SE ARAÇUAÍ 2</t>
        </is>
      </c>
      <c r="C6" s="110" t="inlineStr">
        <is>
          <t>VISION</t>
        </is>
      </c>
      <c r="D6" s="110" t="inlineStr">
        <is>
          <t>4680008320</t>
        </is>
      </c>
      <c r="E6" s="110" t="inlineStr">
        <is>
          <t>PACOTE - R&amp;M 01_2025</t>
        </is>
      </c>
      <c r="F6" s="110" t="inlineStr">
        <is>
          <t>CARLA PINHEIRO</t>
        </is>
      </c>
      <c r="G6" s="110" t="inlineStr">
        <is>
          <t>SUBESTAÇÕES - SE</t>
        </is>
      </c>
      <c r="H6" s="110" t="inlineStr">
        <is>
          <t>ELETROMECÂNICO - ELM</t>
        </is>
      </c>
      <c r="I6" s="110" t="inlineStr">
        <is>
          <t>EZEQUIEL RABELO DE AGUIAR</t>
        </is>
      </c>
      <c r="J6" s="111" t="inlineStr">
        <is>
          <t>1</t>
        </is>
      </c>
      <c r="K6" s="112" t="inlineStr">
        <is>
          <t>22/10/2026</t>
        </is>
      </c>
      <c r="L6" s="111" t="inlineStr">
        <is>
          <t>2</t>
        </is>
      </c>
      <c r="M6" s="111" t="inlineStr">
        <is>
          <t>2</t>
        </is>
      </c>
      <c r="N6" s="111" t="inlineStr">
        <is>
          <t>2</t>
        </is>
      </c>
      <c r="O6" s="111" t="inlineStr">
        <is>
          <t>2</t>
        </is>
      </c>
      <c r="P6" s="111" t="inlineStr">
        <is>
          <t>A1</t>
        </is>
      </c>
      <c r="Q6" s="111" t="inlineStr">
        <is>
          <t>2</t>
        </is>
      </c>
      <c r="R6" s="111" t="inlineStr">
        <is>
          <t>NÃO SE APLICA</t>
        </is>
      </c>
      <c r="S6" s="111" t="inlineStr">
        <is>
          <t>REPROVADA</t>
        </is>
      </c>
      <c r="T6" s="111" t="inlineStr">
        <is>
          <t>JÚLIA ROCHA ARAÚJO</t>
        </is>
      </c>
      <c r="U6" s="111" t="inlineStr">
        <is>
          <t>23/10/2026</t>
        </is>
      </c>
      <c r="V6" s="112">
        <f>IF(K6&lt;&gt;"",K6+30,"")</f>
        <v/>
      </c>
      <c r="W6" s="113">
        <f>IF(K6="","",IF(X6&lt;&gt;"","NO PRAZO",IF(Y6&lt;&gt;"","FORA DO PRAZO",IF(AND(U6&lt;&gt;"",U6-V6&gt;=0),"FORA DO PRAZO",IF(AND(U6&lt;&gt;"",U6-V6&lt;0),"NO PRAZO","")))))</f>
        <v/>
      </c>
      <c r="X6" s="113">
        <f>IF(K6="","",IF(U6&lt;&gt;"","",IF(TODAY()-V6&lt;=0,V6-TODAY(),"")))</f>
        <v/>
      </c>
      <c r="Y6" s="113">
        <f>IF(K6="","",IF(U6&lt;&gt;"","",IF(TODAY()-V6&gt;0,TODAY()-V6,"")))</f>
        <v/>
      </c>
    </row>
    <row r="7">
      <c r="A7" s="110" t="inlineStr">
        <is>
          <t>GRD_SE_ELM_1_VISION_4680008320_SE ARAÇUAÍ 2_221026</t>
        </is>
      </c>
      <c r="B7" s="110" t="inlineStr">
        <is>
          <t>SE ARAÇUAÍ 2</t>
        </is>
      </c>
      <c r="C7" s="110" t="inlineStr">
        <is>
          <t>VISION</t>
        </is>
      </c>
      <c r="D7" s="110" t="inlineStr">
        <is>
          <t>4680008320</t>
        </is>
      </c>
      <c r="E7" s="110" t="inlineStr">
        <is>
          <t>PACOTE - R&amp;M 01_2025</t>
        </is>
      </c>
      <c r="F7" s="110" t="inlineStr">
        <is>
          <t>CARLA PINHEIRO</t>
        </is>
      </c>
      <c r="G7" s="110" t="inlineStr">
        <is>
          <t>SUBESTAÇÕES - SE</t>
        </is>
      </c>
      <c r="H7" s="110" t="inlineStr">
        <is>
          <t>ELETROMECÂNICO - ELM</t>
        </is>
      </c>
      <c r="I7" s="110" t="inlineStr">
        <is>
          <t>EZEQUIEL RABELO DE AGUIAR</t>
        </is>
      </c>
      <c r="J7" s="111" t="inlineStr">
        <is>
          <t>1</t>
        </is>
      </c>
      <c r="K7" s="112" t="inlineStr">
        <is>
          <t>22/10/2026</t>
        </is>
      </c>
      <c r="L7" s="111" t="inlineStr">
        <is>
          <t>3</t>
        </is>
      </c>
      <c r="M7" s="111" t="inlineStr">
        <is>
          <t>3</t>
        </is>
      </c>
      <c r="N7" s="111" t="inlineStr">
        <is>
          <t>3</t>
        </is>
      </c>
      <c r="O7" s="111" t="inlineStr">
        <is>
          <t>3</t>
        </is>
      </c>
      <c r="P7" s="111" t="inlineStr">
        <is>
          <t>A2</t>
        </is>
      </c>
      <c r="Q7" s="111" t="inlineStr">
        <is>
          <t>3</t>
        </is>
      </c>
      <c r="R7" s="111" t="inlineStr">
        <is>
          <t>NÃO SE APLICA</t>
        </is>
      </c>
      <c r="S7" s="111" t="inlineStr">
        <is>
          <t>REPROVADA</t>
        </is>
      </c>
      <c r="T7" s="111" t="inlineStr">
        <is>
          <t>JÚLIA ROCHA ARAÚJO</t>
        </is>
      </c>
      <c r="U7" s="111" t="inlineStr">
        <is>
          <t>23/10/2026</t>
        </is>
      </c>
      <c r="V7" s="112">
        <f>IF(K7&lt;&gt;"",K7+30,"")</f>
        <v/>
      </c>
      <c r="W7" s="113">
        <f>IF(K7="","",IF(X7&lt;&gt;"","NO PRAZO",IF(Y7&lt;&gt;"","FORA DO PRAZO",IF(AND(U7&lt;&gt;"",U7-V7&gt;=0),"FORA DO PRAZO",IF(AND(U7&lt;&gt;"",U7-V7&lt;0),"NO PRAZO","")))))</f>
        <v/>
      </c>
      <c r="X7" s="113">
        <f>IF(K7="","",IF(U7&lt;&gt;"","",IF(TODAY()-V7&lt;=0,V7-TODAY(),"")))</f>
        <v/>
      </c>
      <c r="Y7" s="113">
        <f>IF(K7="","",IF(U7&lt;&gt;"","",IF(TODAY()-V7&gt;0,TODAY()-V7,"")))</f>
        <v/>
      </c>
    </row>
    <row r="8">
      <c r="A8" s="110" t="inlineStr">
        <is>
          <t>GRD_SE_ELM_1_VISION_4680008320_SE ARAÇUAÍ 2_221026</t>
        </is>
      </c>
      <c r="B8" s="110" t="inlineStr">
        <is>
          <t>SE ARAÇUAÍ 2</t>
        </is>
      </c>
      <c r="C8" s="110" t="inlineStr">
        <is>
          <t>VISION</t>
        </is>
      </c>
      <c r="D8" s="110" t="inlineStr">
        <is>
          <t>4680008320</t>
        </is>
      </c>
      <c r="E8" s="110" t="inlineStr">
        <is>
          <t>PACOTE - R&amp;M 01_2025</t>
        </is>
      </c>
      <c r="F8" s="110" t="inlineStr">
        <is>
          <t>CARLA PINHEIRO</t>
        </is>
      </c>
      <c r="G8" s="110" t="inlineStr">
        <is>
          <t>SUBESTAÇÕES - SE</t>
        </is>
      </c>
      <c r="H8" s="110" t="inlineStr">
        <is>
          <t>ELETROMECÂNICO - ELM</t>
        </is>
      </c>
      <c r="I8" s="110" t="inlineStr">
        <is>
          <t>EZEQUIEL RABELO DE AGUIAR</t>
        </is>
      </c>
      <c r="J8" s="111" t="inlineStr">
        <is>
          <t>1</t>
        </is>
      </c>
      <c r="K8" s="112" t="inlineStr">
        <is>
          <t>22/10/2026</t>
        </is>
      </c>
      <c r="L8" s="111" t="inlineStr">
        <is>
          <t>4</t>
        </is>
      </c>
      <c r="M8" s="111" t="inlineStr">
        <is>
          <t>4</t>
        </is>
      </c>
      <c r="N8" s="111" t="inlineStr">
        <is>
          <t>4</t>
        </is>
      </c>
      <c r="O8" s="111" t="inlineStr">
        <is>
          <t>4</t>
        </is>
      </c>
      <c r="P8" s="111" t="inlineStr">
        <is>
          <t>A3</t>
        </is>
      </c>
      <c r="Q8" s="111" t="inlineStr">
        <is>
          <t>4</t>
        </is>
      </c>
      <c r="R8" s="111" t="inlineStr">
        <is>
          <t>NÃO SE APLICA</t>
        </is>
      </c>
      <c r="S8" s="111" t="inlineStr">
        <is>
          <t>REPROVADA</t>
        </is>
      </c>
      <c r="T8" s="111" t="inlineStr">
        <is>
          <t>JÚLIA ROCHA ARAÚJO</t>
        </is>
      </c>
      <c r="U8" s="111" t="inlineStr">
        <is>
          <t>23/10/2026</t>
        </is>
      </c>
      <c r="V8" s="112">
        <f>IF(K8&lt;&gt;"",K8+30,"")</f>
        <v/>
      </c>
      <c r="W8" s="113">
        <f>IF(K8="","",IF(X8&lt;&gt;"","NO PRAZO",IF(Y8&lt;&gt;"","FORA DO PRAZO",IF(AND(U8&lt;&gt;"",U8-V8&gt;=0),"FORA DO PRAZO",IF(AND(U8&lt;&gt;"",U8-V8&lt;0),"NO PRAZO","")))))</f>
        <v/>
      </c>
      <c r="X8" s="113">
        <f>IF(K8="","",IF(U8&lt;&gt;"","",IF(TODAY()-V8&lt;=0,V8-TODAY(),"")))</f>
        <v/>
      </c>
      <c r="Y8" s="113">
        <f>IF(K8="","",IF(U8&lt;&gt;"","",IF(TODAY()-V8&gt;0,TODAY()-V8,"")))</f>
        <v/>
      </c>
    </row>
    <row r="9">
      <c r="A9" s="110" t="inlineStr">
        <is>
          <t>GRD_LT_ELE_1_VISION_4680008320_SE BRAÚNAS_231026</t>
        </is>
      </c>
      <c r="B9" s="110" t="inlineStr">
        <is>
          <t>SE BRAÚNAS</t>
        </is>
      </c>
      <c r="C9" s="110" t="inlineStr">
        <is>
          <t>VISION</t>
        </is>
      </c>
      <c r="D9" s="110" t="inlineStr">
        <is>
          <t>4680008320</t>
        </is>
      </c>
      <c r="E9" s="110" t="inlineStr">
        <is>
          <t>PACOTE - R&amp;M 01_2025</t>
        </is>
      </c>
      <c r="F9" s="110" t="inlineStr">
        <is>
          <t>PEDRO PEREIRA</t>
        </is>
      </c>
      <c r="G9" s="110" t="inlineStr">
        <is>
          <t>LINHAS DE TRANSMISSÃO - LT</t>
        </is>
      </c>
      <c r="H9" s="110" t="inlineStr">
        <is>
          <t>ELÉTRICA - ELE</t>
        </is>
      </c>
      <c r="I9" s="110" t="inlineStr">
        <is>
          <t>RODRIGO SERPA FERREIRA PASSOS</t>
        </is>
      </c>
      <c r="J9" s="111" t="inlineStr">
        <is>
          <t>1</t>
        </is>
      </c>
      <c r="K9" s="112" t="inlineStr">
        <is>
          <t>23/10/2026</t>
        </is>
      </c>
      <c r="L9" s="111" t="inlineStr">
        <is>
          <t>1</t>
        </is>
      </c>
      <c r="M9" s="111" t="inlineStr">
        <is>
          <t>1</t>
        </is>
      </c>
      <c r="N9" s="111" t="inlineStr">
        <is>
          <t>1</t>
        </is>
      </c>
      <c r="O9" s="111" t="inlineStr">
        <is>
          <t>1</t>
        </is>
      </c>
      <c r="P9" s="111" t="inlineStr">
        <is>
          <t>1</t>
        </is>
      </c>
      <c r="Q9" s="111" t="inlineStr">
        <is>
          <t>1</t>
        </is>
      </c>
      <c r="R9" s="111" t="n"/>
      <c r="S9" s="111" t="n"/>
      <c r="T9" s="111" t="n"/>
      <c r="U9" s="111" t="n"/>
      <c r="V9" s="112">
        <f>IF(K9&lt;&gt;"",K9+30,"")</f>
        <v/>
      </c>
      <c r="W9" s="113">
        <f>IF(K9="","",IF(X9&lt;&gt;"","NO PRAZO",IF(Y9&lt;&gt;"","FORA DO PRAZO",IF(AND(U9&lt;&gt;"",U9-V9&gt;=0),"FORA DO PRAZO",IF(AND(U9&lt;&gt;"",U9-V9&lt;0),"NO PRAZO","")))))</f>
        <v/>
      </c>
      <c r="X9" s="113">
        <f>IF(K9="","",IF(U9&lt;&gt;"","",IF(TODAY()-V9&lt;=0,V9-TODAY(),"")))</f>
        <v/>
      </c>
      <c r="Y9" s="113">
        <f>IF(K9="","",IF(U9&lt;&gt;"","",IF(TODAY()-V9&gt;0,TODAY()-V9,"")))</f>
        <v/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4" t="n"/>
      <c r="K10" s="4" t="n"/>
      <c r="L10" s="3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0">
        <f>IF(K10&lt;&gt;"",K10+30,"")</f>
        <v/>
      </c>
      <c r="W10" s="11">
        <f>IF(K10="","",IF(X10&lt;&gt;"","NO PRAZO",IF(Y10&lt;&gt;"","FORA DO PRAZO",IF(AND(U10&lt;&gt;"",U10-V10&gt;=0),"FORA DO PRAZO",IF(AND(U10&lt;&gt;"",U10-V10&lt;0),"NO PRAZO","")))))</f>
        <v/>
      </c>
      <c r="X10" s="11">
        <f>IF(K10="","",IF(U10&lt;&gt;"","",IF(TODAY()-V10&lt;=0,V10-TODAY(),"")))</f>
        <v/>
      </c>
      <c r="Y10" s="11">
        <f>IF(K10="","",IF(U10&lt;&gt;"","",IF(TODAY()-V10&gt;0,TODAY()-V10,"")))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4" t="n"/>
      <c r="L11" s="3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7">
        <f>IF(K11&lt;&gt;"",K11+30,"")</f>
        <v/>
      </c>
      <c r="W11" s="18">
        <f>IF(K11="","",IF(X11&lt;&gt;"","NO PRAZO",IF(Y11&lt;&gt;"","FORA DO PRAZO",IF(AND(U11&lt;&gt;"",U11-V11&gt;=0),"FORA DO PRAZO",IF(AND(U11&lt;&gt;"",U11-V11&lt;0),"NO PRAZO","")))))</f>
        <v/>
      </c>
      <c r="X11" s="18">
        <f>IF(K11="","",IF(U11&lt;&gt;"","",IF(TODAY()-V11&lt;=0,V11-TODAY(),"")))</f>
        <v/>
      </c>
      <c r="Y11" s="18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2026-10-23T13:28:38Z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